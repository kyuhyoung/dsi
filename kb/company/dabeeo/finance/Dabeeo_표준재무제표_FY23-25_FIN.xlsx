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beeo\Downloads\"/>
    </mc:Choice>
  </mc:AlternateContent>
  <xr:revisionPtr revIDLastSave="0" documentId="8_{5CD1F383-9415-4D60-AC23-EB3AE498600C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표지" sheetId="1" r:id="rId1"/>
    <sheet name="재무상태표" sheetId="2" r:id="rId2"/>
    <sheet name="손익계산서" sheetId="3" r:id="rId3"/>
    <sheet name="현금흐름표" sheetId="4" r:id="rId4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0" i="4" l="1"/>
  <c r="E32" i="4" s="1"/>
  <c r="E35" i="4" s="1"/>
  <c r="D30" i="4"/>
  <c r="D32" i="4" s="1"/>
  <c r="D35" i="4" s="1"/>
  <c r="C30" i="4"/>
  <c r="E22" i="4"/>
  <c r="D22" i="4"/>
  <c r="C22" i="4"/>
  <c r="E15" i="4"/>
  <c r="D15" i="4"/>
  <c r="C15" i="4"/>
  <c r="C32" i="4" s="1"/>
  <c r="C35" i="4" s="1"/>
  <c r="E45" i="3"/>
  <c r="D45" i="3"/>
  <c r="C45" i="3"/>
  <c r="E33" i="3"/>
  <c r="D33" i="3"/>
  <c r="C33" i="3"/>
  <c r="E20" i="3"/>
  <c r="E22" i="3" s="1"/>
  <c r="D20" i="3"/>
  <c r="C20" i="3"/>
  <c r="C22" i="3" s="1"/>
  <c r="H12" i="3"/>
  <c r="G12" i="3"/>
  <c r="E12" i="3"/>
  <c r="D12" i="3"/>
  <c r="D22" i="3" s="1"/>
  <c r="C12" i="3"/>
  <c r="E47" i="2"/>
  <c r="D47" i="2"/>
  <c r="C47" i="2"/>
  <c r="C39" i="2"/>
  <c r="C49" i="2" s="1"/>
  <c r="E38" i="2"/>
  <c r="E39" i="2" s="1"/>
  <c r="E49" i="2" s="1"/>
  <c r="D38" i="2"/>
  <c r="D39" i="2" s="1"/>
  <c r="D49" i="2" s="1"/>
  <c r="C38" i="2"/>
  <c r="E32" i="2"/>
  <c r="D32" i="2"/>
  <c r="C32" i="2"/>
  <c r="E21" i="2"/>
  <c r="D21" i="2"/>
  <c r="C21" i="2"/>
  <c r="E14" i="2"/>
  <c r="E22" i="2" s="1"/>
  <c r="D14" i="2"/>
  <c r="D22" i="2" s="1"/>
  <c r="C14" i="2"/>
  <c r="C22" i="2" s="1"/>
  <c r="E23" i="3" l="1"/>
  <c r="E35" i="3"/>
  <c r="D23" i="3"/>
  <c r="D35" i="3"/>
  <c r="C35" i="3"/>
  <c r="C23" i="3"/>
  <c r="C47" i="3" l="1"/>
  <c r="C50" i="3" s="1"/>
  <c r="C51" i="3" s="1"/>
  <c r="C36" i="3"/>
  <c r="D36" i="3"/>
  <c r="G35" i="3"/>
  <c r="D47" i="3"/>
  <c r="D50" i="3" s="1"/>
  <c r="E47" i="3"/>
  <c r="E50" i="3" s="1"/>
  <c r="E36" i="3"/>
  <c r="H35" i="3"/>
  <c r="E51" i="3" l="1"/>
  <c r="H50" i="3"/>
  <c r="D51" i="3"/>
  <c r="G50" i="3"/>
</calcChain>
</file>

<file path=xl/sharedStrings.xml><?xml version="1.0" encoding="utf-8"?>
<sst xmlns="http://schemas.openxmlformats.org/spreadsheetml/2006/main" count="139" uniqueCount="130">
  <si>
    <t>표준재무제표</t>
  </si>
  <si>
    <t>회사명</t>
  </si>
  <si>
    <t>주식회사 다비오 (Dabeeo Inc.)</t>
  </si>
  <si>
    <t>사업 분야</t>
  </si>
  <si>
    <t>Geospatial AI / Satellite &amp; Aerial Imagery / Digital Twin</t>
  </si>
  <si>
    <t>대상 회계연도</t>
  </si>
  <si>
    <t>FY2023 ~ FY2025</t>
  </si>
  <si>
    <t>단위</t>
  </si>
  <si>
    <t>원 (KRW)</t>
  </si>
  <si>
    <t>비고</t>
  </si>
  <si>
    <t>내부 검토용 더미 데이터 (Illustrative purpose only)</t>
  </si>
  <si>
    <t>구성</t>
  </si>
  <si>
    <r>
      <rPr>
        <sz val="10"/>
        <rFont val="Arial"/>
        <family val="2"/>
      </rPr>
      <t xml:space="preserve">1. </t>
    </r>
    <r>
      <rPr>
        <sz val="10"/>
        <rFont val="Noto Sans CJK SC"/>
        <family val="2"/>
      </rPr>
      <t xml:space="preserve">재무상태표 </t>
    </r>
    <r>
      <rPr>
        <sz val="10"/>
        <rFont val="Arial"/>
        <family val="2"/>
      </rPr>
      <t>(Balance Sheet)</t>
    </r>
  </si>
  <si>
    <r>
      <rPr>
        <sz val="10"/>
        <rFont val="Arial"/>
        <family val="2"/>
      </rPr>
      <t xml:space="preserve">2. </t>
    </r>
    <r>
      <rPr>
        <sz val="10"/>
        <rFont val="Noto Sans CJK SC"/>
        <family val="2"/>
      </rPr>
      <t xml:space="preserve">손익계산서 </t>
    </r>
    <r>
      <rPr>
        <sz val="10"/>
        <rFont val="Arial"/>
        <family val="2"/>
      </rPr>
      <t>(Income Statement)</t>
    </r>
  </si>
  <si>
    <r>
      <rPr>
        <sz val="10"/>
        <rFont val="Arial"/>
        <family val="2"/>
      </rPr>
      <t xml:space="preserve">3. </t>
    </r>
    <r>
      <rPr>
        <sz val="10"/>
        <rFont val="Noto Sans CJK SC"/>
        <family val="2"/>
      </rPr>
      <t xml:space="preserve">현금흐름표 </t>
    </r>
    <r>
      <rPr>
        <sz val="10"/>
        <rFont val="Arial"/>
        <family val="2"/>
      </rPr>
      <t>(Cash Flow Statement)</t>
    </r>
  </si>
  <si>
    <t>재무상태표 (Balance Sheet)</t>
  </si>
  <si>
    <t>주식회사 다비오 | 단위: 원 (KRW)</t>
  </si>
  <si>
    <t>계정과목</t>
  </si>
  <si>
    <t>FY2023</t>
  </si>
  <si>
    <t>FY2024</t>
  </si>
  <si>
    <t>FY2025</t>
  </si>
  <si>
    <r>
      <rPr>
        <b/>
        <sz val="10"/>
        <color rgb="FF000000"/>
        <rFont val="Arial"/>
        <family val="2"/>
      </rPr>
      <t xml:space="preserve">[ </t>
    </r>
    <r>
      <rPr>
        <b/>
        <sz val="10"/>
        <color rgb="FF000000"/>
        <rFont val="Noto Sans CJK SC"/>
        <family val="2"/>
      </rPr>
      <t xml:space="preserve">자산 </t>
    </r>
    <r>
      <rPr>
        <b/>
        <sz val="10"/>
        <color rgb="FF000000"/>
        <rFont val="Arial"/>
        <family val="2"/>
      </rPr>
      <t>]</t>
    </r>
  </si>
  <si>
    <r>
      <rPr>
        <b/>
        <sz val="10"/>
        <rFont val="Arial"/>
        <family val="2"/>
      </rPr>
      <t xml:space="preserve">Ⅰ. </t>
    </r>
    <r>
      <rPr>
        <b/>
        <sz val="10"/>
        <rFont val="Noto Sans CJK SC"/>
        <family val="2"/>
      </rPr>
      <t>유동자산</t>
    </r>
  </si>
  <si>
    <t xml:space="preserve">  현금및현금성자산</t>
  </si>
  <si>
    <t xml:space="preserve">  단기금융상품</t>
  </si>
  <si>
    <t xml:space="preserve">  매출채권</t>
  </si>
  <si>
    <t xml:space="preserve">  미수수익</t>
  </si>
  <si>
    <t xml:space="preserve">  선급금</t>
  </si>
  <si>
    <t xml:space="preserve">  재고자산</t>
  </si>
  <si>
    <t xml:space="preserve">  유동자산 소계</t>
  </si>
  <si>
    <r>
      <rPr>
        <b/>
        <sz val="10"/>
        <rFont val="Arial"/>
        <family val="2"/>
      </rPr>
      <t xml:space="preserve">Ⅱ. </t>
    </r>
    <r>
      <rPr>
        <b/>
        <sz val="10"/>
        <rFont val="Noto Sans CJK SC"/>
        <family val="2"/>
      </rPr>
      <t>비유동자산</t>
    </r>
  </si>
  <si>
    <t xml:space="preserve">  장기금융상품</t>
  </si>
  <si>
    <t xml:space="preserve">  유형자산</t>
  </si>
  <si>
    <t xml:space="preserve">  무형자산 (개발비/SW)</t>
  </si>
  <si>
    <t xml:space="preserve">  사용권자산</t>
  </si>
  <si>
    <t xml:space="preserve">  기타비유동자산</t>
  </si>
  <si>
    <t xml:space="preserve">  비유동자산 소계</t>
  </si>
  <si>
    <t>자산총계</t>
  </si>
  <si>
    <r>
      <rPr>
        <b/>
        <sz val="10"/>
        <color rgb="FF000000"/>
        <rFont val="Arial"/>
        <family val="2"/>
      </rPr>
      <t xml:space="preserve">[ </t>
    </r>
    <r>
      <rPr>
        <b/>
        <sz val="10"/>
        <color rgb="FF000000"/>
        <rFont val="Noto Sans CJK SC"/>
        <family val="2"/>
      </rPr>
      <t xml:space="preserve">부채 </t>
    </r>
    <r>
      <rPr>
        <b/>
        <sz val="10"/>
        <color rgb="FF000000"/>
        <rFont val="Arial"/>
        <family val="2"/>
      </rPr>
      <t>]</t>
    </r>
  </si>
  <si>
    <r>
      <rPr>
        <b/>
        <sz val="10"/>
        <rFont val="Arial"/>
        <family val="2"/>
      </rPr>
      <t xml:space="preserve">Ⅰ. </t>
    </r>
    <r>
      <rPr>
        <b/>
        <sz val="10"/>
        <rFont val="Noto Sans CJK SC"/>
        <family val="2"/>
      </rPr>
      <t>유동부채</t>
    </r>
  </si>
  <si>
    <t xml:space="preserve">  매입채무</t>
  </si>
  <si>
    <t xml:space="preserve">  미지급금</t>
  </si>
  <si>
    <t xml:space="preserve">  미지급비용</t>
  </si>
  <si>
    <t xml:space="preserve">  선수금</t>
  </si>
  <si>
    <t xml:space="preserve">  단기차입금</t>
  </si>
  <si>
    <t xml:space="preserve">  유동성리스부채</t>
  </si>
  <si>
    <t xml:space="preserve">  유동부채 소계</t>
  </si>
  <si>
    <r>
      <rPr>
        <b/>
        <sz val="10"/>
        <rFont val="Arial"/>
        <family val="2"/>
      </rPr>
      <t xml:space="preserve">Ⅱ. </t>
    </r>
    <r>
      <rPr>
        <b/>
        <sz val="10"/>
        <rFont val="Noto Sans CJK SC"/>
        <family val="2"/>
      </rPr>
      <t>비유동부채</t>
    </r>
  </si>
  <si>
    <t xml:space="preserve">  장기차입금</t>
  </si>
  <si>
    <t xml:space="preserve">  비유동리스부채</t>
  </si>
  <si>
    <t xml:space="preserve">  퇴직급여충당부채</t>
  </si>
  <si>
    <t xml:space="preserve">  기타비유동부채</t>
  </si>
  <si>
    <t xml:space="preserve">  비유동부채 소계</t>
  </si>
  <si>
    <t>부채총계</t>
  </si>
  <si>
    <r>
      <rPr>
        <b/>
        <sz val="10"/>
        <color rgb="FF000000"/>
        <rFont val="Arial"/>
        <family val="2"/>
      </rPr>
      <t xml:space="preserve">[ </t>
    </r>
    <r>
      <rPr>
        <b/>
        <sz val="10"/>
        <color rgb="FF000000"/>
        <rFont val="Noto Sans CJK SC"/>
        <family val="2"/>
      </rPr>
      <t xml:space="preserve">자본 </t>
    </r>
    <r>
      <rPr>
        <b/>
        <sz val="10"/>
        <color rgb="FF000000"/>
        <rFont val="Arial"/>
        <family val="2"/>
      </rPr>
      <t>]</t>
    </r>
  </si>
  <si>
    <t xml:space="preserve">  자본금</t>
  </si>
  <si>
    <t xml:space="preserve">  주식발행초과금</t>
  </si>
  <si>
    <t xml:space="preserve">  기타자본잉여금</t>
  </si>
  <si>
    <t xml:space="preserve">  이익잉여금</t>
  </si>
  <si>
    <t xml:space="preserve">  기타포괄손익누계액</t>
  </si>
  <si>
    <t>자본총계</t>
  </si>
  <si>
    <t>부채 및 자본 총계</t>
  </si>
  <si>
    <t>손익계산서 (Income Statement)</t>
  </si>
  <si>
    <t>'24 YoY</t>
  </si>
  <si>
    <t>'25 YoY</t>
  </si>
  <si>
    <r>
      <rPr>
        <b/>
        <sz val="10"/>
        <rFont val="Arial"/>
        <family val="2"/>
      </rPr>
      <t xml:space="preserve">Ⅰ. </t>
    </r>
    <r>
      <rPr>
        <b/>
        <sz val="10"/>
        <rFont val="Noto Sans CJK SC"/>
        <family val="2"/>
      </rPr>
      <t>매출액</t>
    </r>
  </si>
  <si>
    <t xml:space="preserve">  Satellite &amp; Aerial Imagery Intelligence</t>
  </si>
  <si>
    <t xml:space="preserve">  Geospatial AI Platform (B2B/B2G)</t>
  </si>
  <si>
    <t xml:space="preserve">  Digital Twin / 3D Mapping Solutions</t>
  </si>
  <si>
    <t xml:space="preserve">  유지보수 및 기타 서비스</t>
  </si>
  <si>
    <t xml:space="preserve">  매출액 합계</t>
  </si>
  <si>
    <r>
      <rPr>
        <b/>
        <sz val="10"/>
        <rFont val="Arial"/>
        <family val="2"/>
      </rPr>
      <t xml:space="preserve">Ⅱ. </t>
    </r>
    <r>
      <rPr>
        <b/>
        <sz val="10"/>
        <rFont val="Noto Sans CJK SC"/>
        <family val="2"/>
      </rPr>
      <t>매출원가</t>
    </r>
  </si>
  <si>
    <t xml:space="preserve">  외주용역비</t>
  </si>
  <si>
    <t xml:space="preserve">  위성/항공영상 데이터 매입</t>
  </si>
  <si>
    <t xml:space="preserve">  인건비 (개발/운영)</t>
  </si>
  <si>
    <t xml:space="preserve">  감가상각비 (원가성)</t>
  </si>
  <si>
    <t xml:space="preserve">  기타원가</t>
  </si>
  <si>
    <t xml:space="preserve">  매출원가 합계</t>
  </si>
  <si>
    <r>
      <rPr>
        <b/>
        <sz val="10"/>
        <rFont val="Arial"/>
        <family val="2"/>
      </rPr>
      <t xml:space="preserve">Ⅲ. </t>
    </r>
    <r>
      <rPr>
        <b/>
        <sz val="10"/>
        <rFont val="Noto Sans CJK SC"/>
        <family val="2"/>
      </rPr>
      <t>매출총이익</t>
    </r>
  </si>
  <si>
    <t xml:space="preserve">  매출총이익률 (GPM%)</t>
  </si>
  <si>
    <r>
      <rPr>
        <b/>
        <sz val="10"/>
        <rFont val="Arial"/>
        <family val="2"/>
      </rPr>
      <t xml:space="preserve">Ⅳ. </t>
    </r>
    <r>
      <rPr>
        <b/>
        <sz val="10"/>
        <rFont val="Noto Sans CJK SC"/>
        <family val="2"/>
      </rPr>
      <t>판매비와관리비</t>
    </r>
  </si>
  <si>
    <t xml:space="preserve">  인건비 (영업/관리)</t>
  </si>
  <si>
    <t xml:space="preserve">  지급수수료</t>
  </si>
  <si>
    <t xml:space="preserve">  광고선전비/마케팅비</t>
  </si>
  <si>
    <t xml:space="preserve">  연구개발비 (비자본화)</t>
  </si>
  <si>
    <t xml:space="preserve">  감가상각비 (판관성)</t>
  </si>
  <si>
    <t xml:space="preserve">  지급임차료 및 사용권비용</t>
  </si>
  <si>
    <t xml:space="preserve">  기타 판관비</t>
  </si>
  <si>
    <t xml:space="preserve">  판관비 합계</t>
  </si>
  <si>
    <r>
      <rPr>
        <b/>
        <sz val="10"/>
        <color rgb="FFFFFFFF"/>
        <rFont val="Arial"/>
        <family val="2"/>
      </rPr>
      <t xml:space="preserve">Ⅴ. </t>
    </r>
    <r>
      <rPr>
        <b/>
        <sz val="10"/>
        <color rgb="FFFFFFFF"/>
        <rFont val="Noto Sans CJK SC"/>
        <family val="2"/>
      </rPr>
      <t>영업이익</t>
    </r>
  </si>
  <si>
    <t xml:space="preserve">  영업이익률 (OPM%)</t>
  </si>
  <si>
    <r>
      <rPr>
        <b/>
        <sz val="10"/>
        <rFont val="Arial"/>
        <family val="2"/>
      </rPr>
      <t xml:space="preserve">Ⅵ. </t>
    </r>
    <r>
      <rPr>
        <b/>
        <sz val="10"/>
        <rFont val="Noto Sans CJK SC"/>
        <family val="2"/>
      </rPr>
      <t>영업외손익</t>
    </r>
  </si>
  <si>
    <t xml:space="preserve">  이자수익</t>
  </si>
  <si>
    <t xml:space="preserve">  외환차익/평가이익</t>
  </si>
  <si>
    <t xml:space="preserve">  기타 영업외수익</t>
  </si>
  <si>
    <t xml:space="preserve">  이자비용</t>
  </si>
  <si>
    <t xml:space="preserve">  외환차손/평가손실</t>
  </si>
  <si>
    <t xml:space="preserve">  기타 영업외비용</t>
  </si>
  <si>
    <t xml:space="preserve">  영업외손익 (순액)</t>
  </si>
  <si>
    <r>
      <rPr>
        <b/>
        <sz val="10"/>
        <rFont val="Arial"/>
        <family val="2"/>
      </rPr>
      <t xml:space="preserve">Ⅶ. </t>
    </r>
    <r>
      <rPr>
        <b/>
        <sz val="10"/>
        <rFont val="Noto Sans CJK SC"/>
        <family val="2"/>
      </rPr>
      <t>법인세차감전순이익</t>
    </r>
  </si>
  <si>
    <r>
      <rPr>
        <sz val="10"/>
        <rFont val="Arial"/>
        <family val="2"/>
      </rPr>
      <t xml:space="preserve">Ⅷ. </t>
    </r>
    <r>
      <rPr>
        <sz val="10"/>
        <rFont val="Noto Sans CJK SC"/>
        <family val="2"/>
      </rPr>
      <t>법인세비용</t>
    </r>
  </si>
  <si>
    <r>
      <rPr>
        <b/>
        <sz val="10"/>
        <color rgb="FFFFFFFF"/>
        <rFont val="Arial"/>
        <family val="2"/>
      </rPr>
      <t xml:space="preserve">Ⅸ. </t>
    </r>
    <r>
      <rPr>
        <b/>
        <sz val="10"/>
        <color rgb="FFFFFFFF"/>
        <rFont val="Noto Sans CJK SC"/>
        <family val="2"/>
      </rPr>
      <t>당기순이익</t>
    </r>
  </si>
  <si>
    <t xml:space="preserve">  당기순이익률 (NIM%)</t>
  </si>
  <si>
    <t>현금흐름표 (Cash Flow Statement)</t>
  </si>
  <si>
    <t>구분</t>
  </si>
  <si>
    <r>
      <rPr>
        <b/>
        <sz val="10"/>
        <rFont val="Arial"/>
        <family val="2"/>
      </rPr>
      <t xml:space="preserve">Ⅰ. </t>
    </r>
    <r>
      <rPr>
        <b/>
        <sz val="10"/>
        <rFont val="Noto Sans CJK SC"/>
        <family val="2"/>
      </rPr>
      <t>영업활동 현금흐름</t>
    </r>
  </si>
  <si>
    <t xml:space="preserve">  당기순이익</t>
  </si>
  <si>
    <t xml:space="preserve">  감가상각비</t>
  </si>
  <si>
    <t xml:space="preserve">  무형자산상각비</t>
  </si>
  <si>
    <t xml:space="preserve">  매출채권 증가</t>
  </si>
  <si>
    <t xml:space="preserve">  매입채무 증가</t>
  </si>
  <si>
    <t xml:space="preserve">  선수금 증가</t>
  </si>
  <si>
    <t xml:space="preserve">  기타 운전자본 변동</t>
  </si>
  <si>
    <t xml:space="preserve">  영업활동 현금흐름 합계</t>
  </si>
  <si>
    <r>
      <rPr>
        <b/>
        <sz val="10"/>
        <rFont val="Arial"/>
        <family val="2"/>
      </rPr>
      <t xml:space="preserve">Ⅱ. </t>
    </r>
    <r>
      <rPr>
        <b/>
        <sz val="10"/>
        <rFont val="Noto Sans CJK SC"/>
        <family val="2"/>
      </rPr>
      <t>투자활동 현금흐름</t>
    </r>
  </si>
  <si>
    <t xml:space="preserve">  유형자산 취득</t>
  </si>
  <si>
    <t xml:space="preserve">  무형자산 취득 (개발비)</t>
  </si>
  <si>
    <t xml:space="preserve">  단기금융상품 순증감</t>
  </si>
  <si>
    <t xml:space="preserve">  장기금융상품 순증감</t>
  </si>
  <si>
    <t xml:space="preserve">  투자활동 현금흐름 합계</t>
  </si>
  <si>
    <r>
      <rPr>
        <b/>
        <sz val="10"/>
        <rFont val="Arial"/>
        <family val="2"/>
      </rPr>
      <t xml:space="preserve">Ⅲ. </t>
    </r>
    <r>
      <rPr>
        <b/>
        <sz val="10"/>
        <rFont val="Noto Sans CJK SC"/>
        <family val="2"/>
      </rPr>
      <t>재무활동 현금흐름</t>
    </r>
  </si>
  <si>
    <t xml:space="preserve">  단기차입금 순증감</t>
  </si>
  <si>
    <t xml:space="preserve">  장기차입금 순증감</t>
  </si>
  <si>
    <t xml:space="preserve">  유상증자 (자본금/자본잉여금)</t>
  </si>
  <si>
    <t xml:space="preserve">  배당금 지급</t>
  </si>
  <si>
    <t xml:space="preserve">  리스부채 상환</t>
  </si>
  <si>
    <t xml:space="preserve">  재무활동 현금흐름 합계</t>
  </si>
  <si>
    <r>
      <rPr>
        <b/>
        <sz val="10"/>
        <color rgb="FFFFFFFF"/>
        <rFont val="Arial"/>
        <family val="2"/>
      </rPr>
      <t xml:space="preserve">Ⅳ. </t>
    </r>
    <r>
      <rPr>
        <b/>
        <sz val="10"/>
        <color rgb="FFFFFFFF"/>
        <rFont val="Noto Sans CJK SC"/>
        <family val="2"/>
      </rPr>
      <t xml:space="preserve">현금의 증감 </t>
    </r>
    <r>
      <rPr>
        <b/>
        <sz val="10"/>
        <color rgb="FFFFFFFF"/>
        <rFont val="Arial"/>
        <family val="2"/>
      </rPr>
      <t>(Ⅰ+Ⅱ+Ⅲ)</t>
    </r>
  </si>
  <si>
    <r>
      <rPr>
        <sz val="10"/>
        <rFont val="Arial"/>
        <family val="2"/>
      </rPr>
      <t xml:space="preserve">Ⅴ. </t>
    </r>
    <r>
      <rPr>
        <sz val="10"/>
        <rFont val="Noto Sans CJK SC"/>
        <family val="2"/>
      </rPr>
      <t>기초 현금및현금성자산</t>
    </r>
  </si>
  <si>
    <r>
      <rPr>
        <b/>
        <sz val="10"/>
        <color rgb="FFFFFFFF"/>
        <rFont val="Arial"/>
        <family val="2"/>
      </rPr>
      <t xml:space="preserve">Ⅵ. </t>
    </r>
    <r>
      <rPr>
        <b/>
        <sz val="10"/>
        <color rgb="FFFFFFFF"/>
        <rFont val="Noto Sans CJK SC"/>
        <family val="2"/>
      </rPr>
      <t>기말 현금및현금성자산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</si>
</sst>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(#,##0\);\-"/>
    <numFmt numFmtId="177" formatCode="0.0%;\(0.0%\);\-"/>
  </numFmts>
  <fonts count="23">
    <font>
      <sz val="11"/>
      <color theme="1"/>
      <name val="Calibri"/>
      <family val="2"/>
      <charset val="1"/>
    </font>
    <font>
      <b/>
      <sz val="22"/>
      <color rgb="FF1F3864"/>
      <name val="Noto Sans CJK SC"/>
      <family val="2"/>
      <charset val="1"/>
    </font>
    <font>
      <b/>
      <sz val="11"/>
      <name val="Noto Sans CJK SC"/>
      <family val="2"/>
      <charset val="1"/>
    </font>
    <font>
      <sz val="11"/>
      <name val="Noto Sans CJK SC"/>
      <family val="2"/>
      <charset val="1"/>
    </font>
    <font>
      <sz val="11"/>
      <name val="Arial"/>
      <family val="2"/>
    </font>
    <font>
      <b/>
      <sz val="12"/>
      <color rgb="FF1F3864"/>
      <name val="Noto Sans CJK SC"/>
      <family val="2"/>
      <charset val="1"/>
    </font>
    <font>
      <sz val="10"/>
      <name val="Arial"/>
      <family val="2"/>
    </font>
    <font>
      <sz val="10"/>
      <name val="Noto Sans CJK SC"/>
      <family val="2"/>
    </font>
    <font>
      <b/>
      <sz val="14"/>
      <color rgb="FFFFFFFF"/>
      <name val="Noto Sans CJK SC"/>
      <family val="2"/>
      <charset val="1"/>
    </font>
    <font>
      <i/>
      <sz val="9"/>
      <color rgb="FF595959"/>
      <name val="Noto Sans CJK SC"/>
      <family val="2"/>
      <charset val="1"/>
    </font>
    <font>
      <b/>
      <sz val="10"/>
      <color rgb="FFFFFFFF"/>
      <name val="Noto Sans CJK SC"/>
      <family val="2"/>
      <charset val="1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Noto Sans CJK SC"/>
      <family val="2"/>
    </font>
    <font>
      <b/>
      <sz val="10"/>
      <name val="Arial"/>
      <family val="2"/>
    </font>
    <font>
      <b/>
      <sz val="10"/>
      <name val="Noto Sans CJK SC"/>
      <family val="2"/>
    </font>
    <font>
      <sz val="10"/>
      <name val="Noto Sans CJK SC"/>
      <family val="2"/>
      <charset val="1"/>
    </font>
    <font>
      <sz val="10"/>
      <color rgb="FF0000FF"/>
      <name val="Arial"/>
      <family val="2"/>
    </font>
    <font>
      <b/>
      <sz val="10"/>
      <name val="Noto Sans CJK SC"/>
      <family val="2"/>
      <charset val="1"/>
    </font>
    <font>
      <b/>
      <sz val="10"/>
      <color rgb="FF00B050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Noto Sans CJK SC"/>
      <family val="2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D9E2F3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2E5597"/>
        <bgColor rgb="FF1F3864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9" fillId="0" borderId="0" xfId="0" applyFont="1"/>
    <xf numFmtId="0" fontId="8" fillId="3" borderId="0" xfId="0" applyFont="1" applyFill="1" applyAlignment="1">
      <alignment horizontal="left" vertical="center"/>
    </xf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2" borderId="1" xfId="0" applyFont="1" applyFill="1" applyBorder="1"/>
    <xf numFmtId="0" fontId="14" fillId="0" borderId="1" xfId="0" applyFont="1" applyBorder="1"/>
    <xf numFmtId="0" fontId="16" fillId="0" borderId="1" xfId="0" applyFont="1" applyBorder="1" applyAlignment="1">
      <alignment horizontal="left" vertical="center"/>
    </xf>
    <xf numFmtId="176" fontId="17" fillId="0" borderId="1" xfId="0" applyNumberFormat="1" applyFont="1" applyBorder="1" applyAlignment="1">
      <alignment horizontal="right"/>
    </xf>
    <xf numFmtId="0" fontId="18" fillId="5" borderId="1" xfId="0" applyFont="1" applyFill="1" applyBorder="1" applyAlignment="1">
      <alignment horizontal="left"/>
    </xf>
    <xf numFmtId="176" fontId="14" fillId="5" borderId="1" xfId="0" applyNumberFormat="1" applyFont="1" applyFill="1" applyBorder="1" applyAlignment="1">
      <alignment horizontal="right"/>
    </xf>
    <xf numFmtId="0" fontId="10" fillId="3" borderId="1" xfId="0" applyFont="1" applyFill="1" applyBorder="1" applyAlignment="1">
      <alignment horizontal="left"/>
    </xf>
    <xf numFmtId="176" fontId="11" fillId="3" borderId="1" xfId="0" applyNumberFormat="1" applyFont="1" applyFill="1" applyBorder="1" applyAlignment="1">
      <alignment horizontal="right"/>
    </xf>
    <xf numFmtId="0" fontId="6" fillId="0" borderId="1" xfId="0" applyFont="1" applyBorder="1" applyAlignment="1">
      <alignment horizontal="left" vertical="center"/>
    </xf>
    <xf numFmtId="177" fontId="19" fillId="5" borderId="1" xfId="0" applyNumberFormat="1" applyFont="1" applyFill="1" applyBorder="1" applyAlignment="1">
      <alignment horizontal="right"/>
    </xf>
    <xf numFmtId="0" fontId="14" fillId="5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 vertical="center"/>
    </xf>
    <xf numFmtId="177" fontId="20" fillId="0" borderId="1" xfId="0" applyNumberFormat="1" applyFont="1" applyBorder="1" applyAlignment="1">
      <alignment horizontal="right"/>
    </xf>
    <xf numFmtId="0" fontId="11" fillId="3" borderId="1" xfId="0" applyFont="1" applyFill="1" applyBorder="1" applyAlignment="1">
      <alignment horizontal="left"/>
    </xf>
    <xf numFmtId="177" fontId="11" fillId="3" borderId="1" xfId="0" applyNumberFormat="1" applyFont="1" applyFill="1" applyBorder="1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2E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3"/>
  <sheetViews>
    <sheetView zoomScaleNormal="100" workbookViewId="0"/>
  </sheetViews>
  <sheetFormatPr defaultColWidth="8.7109375" defaultRowHeight="15"/>
  <cols>
    <col min="1" max="1" width="4" customWidth="1"/>
    <col min="2" max="2" width="30" customWidth="1"/>
    <col min="3" max="3" width="50" customWidth="1"/>
  </cols>
  <sheetData>
    <row r="2" spans="2:3" ht="26.25" customHeight="1">
      <c r="B2" s="3" t="s">
        <v>0</v>
      </c>
      <c r="C2" s="3"/>
    </row>
    <row r="4" spans="2:3" ht="16.5" customHeight="1">
      <c r="B4" s="4" t="s">
        <v>1</v>
      </c>
      <c r="C4" s="5" t="s">
        <v>2</v>
      </c>
    </row>
    <row r="5" spans="2:3" ht="15" customHeight="1">
      <c r="B5" s="4" t="s">
        <v>3</v>
      </c>
      <c r="C5" s="6" t="s">
        <v>4</v>
      </c>
    </row>
    <row r="6" spans="2:3" ht="15" customHeight="1">
      <c r="B6" s="4" t="s">
        <v>5</v>
      </c>
      <c r="C6" s="6" t="s">
        <v>6</v>
      </c>
    </row>
    <row r="7" spans="2:3" ht="16.5" customHeight="1">
      <c r="B7" s="4" t="s">
        <v>7</v>
      </c>
      <c r="C7" s="5" t="s">
        <v>8</v>
      </c>
    </row>
    <row r="8" spans="2:3" ht="16.5" customHeight="1">
      <c r="B8" s="4" t="s">
        <v>9</v>
      </c>
      <c r="C8" s="5" t="s">
        <v>10</v>
      </c>
    </row>
    <row r="10" spans="2:3" ht="15" customHeight="1">
      <c r="B10" s="7" t="s">
        <v>11</v>
      </c>
    </row>
    <row r="11" spans="2:3" ht="15" customHeight="1">
      <c r="B11" s="8" t="s">
        <v>12</v>
      </c>
    </row>
    <row r="12" spans="2:3" ht="15" customHeight="1">
      <c r="B12" s="8" t="s">
        <v>13</v>
      </c>
    </row>
    <row r="13" spans="2:3" ht="15" customHeight="1">
      <c r="B13" s="8" t="s">
        <v>14</v>
      </c>
    </row>
  </sheetData>
  <mergeCells count="1">
    <mergeCell ref="B2:C2"/>
  </mergeCells>
  <phoneticPr fontId="2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49"/>
  <sheetViews>
    <sheetView tabSelected="1" zoomScaleNormal="100" workbookViewId="0"/>
  </sheetViews>
  <sheetFormatPr defaultColWidth="8.7109375" defaultRowHeight="15"/>
  <cols>
    <col min="1" max="1" width="4" customWidth="1"/>
    <col min="2" max="2" width="38" customWidth="1"/>
    <col min="3" max="5" width="22" customWidth="1"/>
  </cols>
  <sheetData>
    <row r="2" spans="2:5" ht="24" customHeight="1">
      <c r="B2" s="2" t="s">
        <v>15</v>
      </c>
      <c r="C2" s="2"/>
      <c r="D2" s="2"/>
      <c r="E2" s="2"/>
    </row>
    <row r="3" spans="2:5" ht="15" customHeight="1">
      <c r="B3" s="1" t="s">
        <v>16</v>
      </c>
      <c r="C3" s="1"/>
      <c r="D3" s="1"/>
      <c r="E3" s="1"/>
    </row>
    <row r="5" spans="2:5" ht="15" customHeight="1">
      <c r="B5" s="9" t="s">
        <v>17</v>
      </c>
      <c r="C5" s="10" t="s">
        <v>18</v>
      </c>
      <c r="D5" s="10" t="s">
        <v>19</v>
      </c>
      <c r="E5" s="10" t="s">
        <v>20</v>
      </c>
    </row>
    <row r="6" spans="2:5" ht="15" customHeight="1">
      <c r="B6" s="11" t="s">
        <v>21</v>
      </c>
      <c r="C6" s="11"/>
      <c r="D6" s="11"/>
      <c r="E6" s="11"/>
    </row>
    <row r="7" spans="2:5" ht="15" customHeight="1">
      <c r="B7" s="12" t="s">
        <v>22</v>
      </c>
    </row>
    <row r="8" spans="2:5" ht="15" customHeight="1">
      <c r="B8" s="13" t="s">
        <v>23</v>
      </c>
      <c r="C8" s="14">
        <v>4800670487</v>
      </c>
      <c r="D8" s="14">
        <v>7200116739</v>
      </c>
      <c r="E8" s="14">
        <v>12500026225</v>
      </c>
    </row>
    <row r="9" spans="2:5" ht="15" customHeight="1">
      <c r="B9" s="13" t="s">
        <v>24</v>
      </c>
      <c r="C9" s="14">
        <v>2500777572</v>
      </c>
      <c r="D9" s="14">
        <v>4500288389</v>
      </c>
      <c r="E9" s="14">
        <v>7800256787</v>
      </c>
    </row>
    <row r="10" spans="2:5" ht="15" customHeight="1">
      <c r="B10" s="13" t="s">
        <v>25</v>
      </c>
      <c r="C10" s="14">
        <v>3200234053</v>
      </c>
      <c r="D10" s="14">
        <v>6100146316</v>
      </c>
      <c r="E10" s="14">
        <v>11200772246</v>
      </c>
    </row>
    <row r="11" spans="2:5" ht="15" customHeight="1">
      <c r="B11" s="13" t="s">
        <v>26</v>
      </c>
      <c r="C11" s="14">
        <v>350107473</v>
      </c>
      <c r="D11" s="14">
        <v>720709570</v>
      </c>
      <c r="E11" s="14">
        <v>1450776646</v>
      </c>
    </row>
    <row r="12" spans="2:5" ht="15" customHeight="1">
      <c r="B12" s="13" t="s">
        <v>27</v>
      </c>
      <c r="C12" s="14">
        <v>480935518</v>
      </c>
      <c r="D12" s="14">
        <v>780571858</v>
      </c>
      <c r="E12" s="14">
        <v>1300091161</v>
      </c>
    </row>
    <row r="13" spans="2:5" ht="15" customHeight="1">
      <c r="B13" s="13" t="s">
        <v>28</v>
      </c>
      <c r="C13" s="14">
        <v>220619176</v>
      </c>
      <c r="D13" s="14">
        <v>410442417</v>
      </c>
      <c r="E13" s="14">
        <v>780033326</v>
      </c>
    </row>
    <row r="14" spans="2:5" ht="15" customHeight="1">
      <c r="B14" s="15" t="s">
        <v>29</v>
      </c>
      <c r="C14" s="16">
        <f>SUM(C8:C13)</f>
        <v>11553344279</v>
      </c>
      <c r="D14" s="16">
        <f>SUM(D8:D13)</f>
        <v>19712275289</v>
      </c>
      <c r="E14" s="16">
        <f>SUM(E8:E13)</f>
        <v>35031956391</v>
      </c>
    </row>
    <row r="15" spans="2:5" ht="15" customHeight="1">
      <c r="B15" s="12" t="s">
        <v>30</v>
      </c>
    </row>
    <row r="16" spans="2:5" ht="15" customHeight="1">
      <c r="B16" s="13" t="s">
        <v>31</v>
      </c>
      <c r="C16" s="14">
        <v>1000031244</v>
      </c>
      <c r="D16" s="14">
        <v>1800098246</v>
      </c>
      <c r="E16" s="14">
        <v>3200229258</v>
      </c>
    </row>
    <row r="17" spans="2:5" ht="15" customHeight="1">
      <c r="B17" s="13" t="s">
        <v>32</v>
      </c>
      <c r="C17" s="14">
        <v>1850243962</v>
      </c>
      <c r="D17" s="14">
        <v>2650529903</v>
      </c>
      <c r="E17" s="14">
        <v>3850631262</v>
      </c>
    </row>
    <row r="18" spans="2:5" ht="15" customHeight="1">
      <c r="B18" s="13" t="s">
        <v>33</v>
      </c>
      <c r="C18" s="14">
        <v>2400027824</v>
      </c>
      <c r="D18" s="14">
        <v>3600588508</v>
      </c>
      <c r="E18" s="14">
        <v>5400208496</v>
      </c>
    </row>
    <row r="19" spans="2:5" ht="15" customHeight="1">
      <c r="B19" s="13" t="s">
        <v>34</v>
      </c>
      <c r="C19" s="14">
        <v>680750800</v>
      </c>
      <c r="D19" s="14">
        <v>950681453</v>
      </c>
      <c r="E19" s="14">
        <v>1380735392</v>
      </c>
    </row>
    <row r="20" spans="2:5" ht="15" customHeight="1">
      <c r="B20" s="13" t="s">
        <v>35</v>
      </c>
      <c r="C20" s="14">
        <v>320571412</v>
      </c>
      <c r="D20" s="14">
        <v>480439898</v>
      </c>
      <c r="E20" s="14">
        <v>720231148</v>
      </c>
    </row>
    <row r="21" spans="2:5" ht="15" customHeight="1">
      <c r="B21" s="15" t="s">
        <v>36</v>
      </c>
      <c r="C21" s="16">
        <f>SUM(C16:C20)</f>
        <v>6251625242</v>
      </c>
      <c r="D21" s="16">
        <f>SUM(D16:D20)</f>
        <v>9482338008</v>
      </c>
      <c r="E21" s="16">
        <f>SUM(E16:E20)</f>
        <v>14552035556</v>
      </c>
    </row>
    <row r="22" spans="2:5" ht="15" customHeight="1">
      <c r="B22" s="17" t="s">
        <v>37</v>
      </c>
      <c r="C22" s="18">
        <f>C14+C21</f>
        <v>17804969521</v>
      </c>
      <c r="D22" s="18">
        <f>D14+D21</f>
        <v>29194613297</v>
      </c>
      <c r="E22" s="18">
        <f>E14+E21</f>
        <v>49583991947</v>
      </c>
    </row>
    <row r="24" spans="2:5" ht="15" customHeight="1">
      <c r="B24" s="11" t="s">
        <v>38</v>
      </c>
      <c r="C24" s="11"/>
      <c r="D24" s="11"/>
      <c r="E24" s="11"/>
    </row>
    <row r="25" spans="2:5" ht="15" customHeight="1">
      <c r="B25" s="12" t="s">
        <v>39</v>
      </c>
    </row>
    <row r="26" spans="2:5" ht="15" customHeight="1">
      <c r="B26" s="13" t="s">
        <v>40</v>
      </c>
      <c r="C26" s="14">
        <v>950471029</v>
      </c>
      <c r="D26" s="14">
        <v>1650617889</v>
      </c>
      <c r="E26" s="14">
        <v>2900291704</v>
      </c>
    </row>
    <row r="27" spans="2:5" ht="15" customHeight="1">
      <c r="B27" s="13" t="s">
        <v>41</v>
      </c>
      <c r="C27" s="14">
        <v>480848749</v>
      </c>
      <c r="D27" s="14">
        <v>820911527</v>
      </c>
      <c r="E27" s="14">
        <v>1450006814</v>
      </c>
    </row>
    <row r="28" spans="2:5" ht="15" customHeight="1">
      <c r="B28" s="13" t="s">
        <v>42</v>
      </c>
      <c r="C28" s="14">
        <v>320795667</v>
      </c>
      <c r="D28" s="14">
        <v>560844962</v>
      </c>
      <c r="E28" s="14">
        <v>980167414</v>
      </c>
    </row>
    <row r="29" spans="2:5" ht="15" customHeight="1">
      <c r="B29" s="13" t="s">
        <v>43</v>
      </c>
      <c r="C29" s="14">
        <v>780732052</v>
      </c>
      <c r="D29" s="14">
        <v>1400443143</v>
      </c>
      <c r="E29" s="14">
        <v>2600356778</v>
      </c>
    </row>
    <row r="30" spans="2:5" ht="15" customHeight="1">
      <c r="B30" s="13" t="s">
        <v>44</v>
      </c>
      <c r="C30" s="14">
        <v>1200291369</v>
      </c>
      <c r="D30" s="14">
        <v>1500163032</v>
      </c>
      <c r="E30" s="14">
        <v>1800225772</v>
      </c>
    </row>
    <row r="31" spans="2:5" ht="15" customHeight="1">
      <c r="B31" s="13" t="s">
        <v>45</v>
      </c>
      <c r="C31" s="14">
        <v>220800581</v>
      </c>
      <c r="D31" s="14">
        <v>320352944</v>
      </c>
      <c r="E31" s="14">
        <v>480107175</v>
      </c>
    </row>
    <row r="32" spans="2:5" ht="15" customHeight="1">
      <c r="B32" s="15" t="s">
        <v>46</v>
      </c>
      <c r="C32" s="16">
        <f>SUM(C26:C31)</f>
        <v>3953939447</v>
      </c>
      <c r="D32" s="16">
        <f>SUM(D26:D31)</f>
        <v>6253333497</v>
      </c>
      <c r="E32" s="16">
        <f>SUM(E26:E31)</f>
        <v>10211155657</v>
      </c>
    </row>
    <row r="33" spans="2:5" ht="15" customHeight="1">
      <c r="B33" s="12" t="s">
        <v>47</v>
      </c>
    </row>
    <row r="34" spans="2:5" ht="15" customHeight="1">
      <c r="B34" s="13" t="s">
        <v>48</v>
      </c>
      <c r="C34" s="14">
        <v>1500097251</v>
      </c>
      <c r="D34" s="14">
        <v>1800398382</v>
      </c>
      <c r="E34" s="14">
        <v>2200101414</v>
      </c>
    </row>
    <row r="35" spans="2:5" ht="15" customHeight="1">
      <c r="B35" s="13" t="s">
        <v>49</v>
      </c>
      <c r="C35" s="14">
        <v>460376417</v>
      </c>
      <c r="D35" s="14">
        <v>650888662</v>
      </c>
      <c r="E35" s="14">
        <v>920360663</v>
      </c>
    </row>
    <row r="36" spans="2:5" ht="15" customHeight="1">
      <c r="B36" s="13" t="s">
        <v>50</v>
      </c>
      <c r="C36" s="14">
        <v>380633052</v>
      </c>
      <c r="D36" s="14">
        <v>620277370</v>
      </c>
      <c r="E36" s="14">
        <v>1050846335</v>
      </c>
    </row>
    <row r="37" spans="2:5" ht="15" customHeight="1">
      <c r="B37" s="13" t="s">
        <v>51</v>
      </c>
      <c r="C37" s="14">
        <v>150045561</v>
      </c>
      <c r="D37" s="14">
        <v>220765179</v>
      </c>
      <c r="E37" s="14">
        <v>330481741</v>
      </c>
    </row>
    <row r="38" spans="2:5" ht="15" customHeight="1">
      <c r="B38" s="15" t="s">
        <v>52</v>
      </c>
      <c r="C38" s="16">
        <f>SUM(C34:C37)</f>
        <v>2491152281</v>
      </c>
      <c r="D38" s="16">
        <f>SUM(D34:D37)</f>
        <v>3292329593</v>
      </c>
      <c r="E38" s="16">
        <f>SUM(E34:E37)</f>
        <v>4501790153</v>
      </c>
    </row>
    <row r="39" spans="2:5" ht="15" customHeight="1">
      <c r="B39" s="17" t="s">
        <v>53</v>
      </c>
      <c r="C39" s="18">
        <f>C32+C38</f>
        <v>6445091728</v>
      </c>
      <c r="D39" s="18">
        <f>D32+D38</f>
        <v>9545663090</v>
      </c>
      <c r="E39" s="18">
        <f>E32+E38</f>
        <v>14712945810</v>
      </c>
    </row>
    <row r="41" spans="2:5" ht="15" customHeight="1">
      <c r="B41" s="11" t="s">
        <v>54</v>
      </c>
      <c r="C41" s="11"/>
      <c r="D41" s="11"/>
      <c r="E41" s="11"/>
    </row>
    <row r="42" spans="2:5" ht="15" customHeight="1">
      <c r="B42" s="13" t="s">
        <v>55</v>
      </c>
      <c r="C42" s="14">
        <v>3000562275</v>
      </c>
      <c r="D42" s="14">
        <v>3000130889</v>
      </c>
      <c r="E42" s="14">
        <v>3500967096</v>
      </c>
    </row>
    <row r="43" spans="2:5" ht="15" customHeight="1">
      <c r="B43" s="13" t="s">
        <v>56</v>
      </c>
      <c r="C43" s="14">
        <v>5800396922</v>
      </c>
      <c r="D43" s="14">
        <v>5800082627</v>
      </c>
      <c r="E43" s="14">
        <v>7500578856</v>
      </c>
    </row>
    <row r="44" spans="2:5" ht="15" customHeight="1">
      <c r="B44" s="13" t="s">
        <v>57</v>
      </c>
      <c r="C44" s="14">
        <v>420307419</v>
      </c>
      <c r="D44" s="14">
        <v>420869693</v>
      </c>
      <c r="E44" s="14">
        <v>420659176</v>
      </c>
    </row>
    <row r="45" spans="2:5" ht="15" customHeight="1">
      <c r="B45" s="13" t="s">
        <v>58</v>
      </c>
      <c r="C45" s="14">
        <v>2018231976</v>
      </c>
      <c r="D45" s="14">
        <v>10247261601</v>
      </c>
      <c r="E45" s="14">
        <v>23188639380</v>
      </c>
    </row>
    <row r="46" spans="2:5" ht="15" customHeight="1">
      <c r="B46" s="13" t="s">
        <v>59</v>
      </c>
      <c r="C46" s="14">
        <v>120379201</v>
      </c>
      <c r="D46" s="14">
        <v>180605397</v>
      </c>
      <c r="E46" s="14">
        <v>260201629</v>
      </c>
    </row>
    <row r="47" spans="2:5" ht="15" customHeight="1">
      <c r="B47" s="17" t="s">
        <v>60</v>
      </c>
      <c r="C47" s="18">
        <f>SUM(C42:C46)</f>
        <v>11359877793</v>
      </c>
      <c r="D47" s="18">
        <f>SUM(D42:D46)</f>
        <v>19648950207</v>
      </c>
      <c r="E47" s="18">
        <f>SUM(E42:E46)</f>
        <v>34871046137</v>
      </c>
    </row>
    <row r="49" spans="2:5" ht="15" customHeight="1">
      <c r="B49" s="17" t="s">
        <v>61</v>
      </c>
      <c r="C49" s="18">
        <f>C39+C47</f>
        <v>17804969521</v>
      </c>
      <c r="D49" s="18">
        <f>D39+D47</f>
        <v>29194613297</v>
      </c>
      <c r="E49" s="18">
        <f>E39+E47</f>
        <v>49583991947</v>
      </c>
    </row>
  </sheetData>
  <mergeCells count="2">
    <mergeCell ref="B2:E2"/>
    <mergeCell ref="B3:E3"/>
  </mergeCells>
  <phoneticPr fontId="2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51"/>
  <sheetViews>
    <sheetView zoomScaleNormal="100" workbookViewId="0"/>
  </sheetViews>
  <sheetFormatPr defaultColWidth="8.7109375" defaultRowHeight="15"/>
  <cols>
    <col min="1" max="1" width="4" customWidth="1"/>
    <col min="2" max="2" width="38" customWidth="1"/>
    <col min="3" max="5" width="22" customWidth="1"/>
    <col min="6" max="6" width="4" customWidth="1"/>
    <col min="7" max="8" width="14" customWidth="1"/>
  </cols>
  <sheetData>
    <row r="2" spans="2:8" ht="24" customHeight="1">
      <c r="B2" s="2" t="s">
        <v>62</v>
      </c>
      <c r="C2" s="2"/>
      <c r="D2" s="2"/>
      <c r="E2" s="2"/>
      <c r="F2" s="2"/>
      <c r="G2" s="2"/>
      <c r="H2" s="2"/>
    </row>
    <row r="3" spans="2:8" ht="15" customHeight="1">
      <c r="B3" s="1" t="s">
        <v>16</v>
      </c>
      <c r="C3" s="1"/>
      <c r="D3" s="1"/>
      <c r="E3" s="1"/>
      <c r="F3" s="1"/>
      <c r="G3" s="1"/>
      <c r="H3" s="1"/>
    </row>
    <row r="5" spans="2:8" ht="15" customHeight="1">
      <c r="B5" s="9" t="s">
        <v>17</v>
      </c>
      <c r="C5" s="10" t="s">
        <v>18</v>
      </c>
      <c r="D5" s="10" t="s">
        <v>19</v>
      </c>
      <c r="E5" s="10" t="s">
        <v>20</v>
      </c>
      <c r="G5" s="10" t="s">
        <v>63</v>
      </c>
      <c r="H5" s="10" t="s">
        <v>64</v>
      </c>
    </row>
    <row r="7" spans="2:8" ht="15" customHeight="1">
      <c r="B7" s="12" t="s">
        <v>65</v>
      </c>
    </row>
    <row r="8" spans="2:8" ht="15" customHeight="1">
      <c r="B8" s="19" t="s">
        <v>66</v>
      </c>
      <c r="C8" s="14">
        <v>3200738797</v>
      </c>
      <c r="D8" s="14">
        <v>6100072933</v>
      </c>
      <c r="E8" s="14">
        <v>12500048050</v>
      </c>
    </row>
    <row r="9" spans="2:8" ht="15" customHeight="1">
      <c r="B9" s="19" t="s">
        <v>67</v>
      </c>
      <c r="C9" s="14">
        <v>2800693384</v>
      </c>
      <c r="D9" s="14">
        <v>5400238968</v>
      </c>
      <c r="E9" s="14">
        <v>10200810620</v>
      </c>
    </row>
    <row r="10" spans="2:8" ht="15" customHeight="1">
      <c r="B10" s="19" t="s">
        <v>68</v>
      </c>
      <c r="C10" s="14">
        <v>1600303445</v>
      </c>
      <c r="D10" s="14">
        <v>2400083667</v>
      </c>
      <c r="E10" s="14">
        <v>3600896865</v>
      </c>
    </row>
    <row r="11" spans="2:8" ht="15" customHeight="1">
      <c r="B11" s="13" t="s">
        <v>69</v>
      </c>
      <c r="C11" s="14">
        <v>900244098</v>
      </c>
      <c r="D11" s="14">
        <v>900908573</v>
      </c>
      <c r="E11" s="14">
        <v>1200105907</v>
      </c>
    </row>
    <row r="12" spans="2:8" ht="15" customHeight="1">
      <c r="B12" s="15" t="s">
        <v>70</v>
      </c>
      <c r="C12" s="16">
        <f>SUM(C8:C11)</f>
        <v>8501979724</v>
      </c>
      <c r="D12" s="16">
        <f>SUM(D8:D11)</f>
        <v>14801304141</v>
      </c>
      <c r="E12" s="16">
        <f>SUM(E8:E11)</f>
        <v>27501861442</v>
      </c>
      <c r="G12" s="20">
        <f>D12/C12-1</f>
        <v>0.74092442248689605</v>
      </c>
      <c r="H12" s="20">
        <f>E12/D12-1</f>
        <v>0.85807015246846552</v>
      </c>
    </row>
    <row r="14" spans="2:8" ht="15" customHeight="1">
      <c r="B14" s="12" t="s">
        <v>71</v>
      </c>
    </row>
    <row r="15" spans="2:8" ht="15" customHeight="1">
      <c r="B15" s="13" t="s">
        <v>72</v>
      </c>
      <c r="C15" s="14">
        <v>1100398591</v>
      </c>
      <c r="D15" s="14">
        <v>1900291476</v>
      </c>
      <c r="E15" s="14">
        <v>3500475435</v>
      </c>
    </row>
    <row r="16" spans="2:8" ht="15" customHeight="1">
      <c r="B16" s="13" t="s">
        <v>73</v>
      </c>
      <c r="C16" s="14">
        <v>1300666563</v>
      </c>
      <c r="D16" s="14">
        <v>2200874628</v>
      </c>
      <c r="E16" s="14">
        <v>4100382554</v>
      </c>
    </row>
    <row r="17" spans="2:5" ht="15" customHeight="1">
      <c r="B17" s="13" t="s">
        <v>74</v>
      </c>
      <c r="C17" s="14">
        <v>1700170555</v>
      </c>
      <c r="D17" s="14">
        <v>2600388162</v>
      </c>
      <c r="E17" s="14">
        <v>4300372528</v>
      </c>
    </row>
    <row r="18" spans="2:5" ht="15" customHeight="1">
      <c r="B18" s="13" t="s">
        <v>75</v>
      </c>
      <c r="C18" s="14">
        <v>380219684</v>
      </c>
      <c r="D18" s="14">
        <v>520702729</v>
      </c>
      <c r="E18" s="14">
        <v>780279946</v>
      </c>
    </row>
    <row r="19" spans="2:5" ht="15" customHeight="1">
      <c r="B19" s="13" t="s">
        <v>76</v>
      </c>
      <c r="C19" s="14">
        <v>250735911</v>
      </c>
      <c r="D19" s="14">
        <v>380982153</v>
      </c>
      <c r="E19" s="14">
        <v>620716751</v>
      </c>
    </row>
    <row r="20" spans="2:5" ht="15" customHeight="1">
      <c r="B20" s="15" t="s">
        <v>77</v>
      </c>
      <c r="C20" s="16">
        <f>SUM(C15:C19)</f>
        <v>4732191304</v>
      </c>
      <c r="D20" s="16">
        <f>SUM(D15:D19)</f>
        <v>7603239148</v>
      </c>
      <c r="E20" s="16">
        <f>SUM(E15:E19)</f>
        <v>13302227214</v>
      </c>
    </row>
    <row r="22" spans="2:5" ht="15" customHeight="1">
      <c r="B22" s="21" t="s">
        <v>78</v>
      </c>
      <c r="C22" s="16">
        <f>C12-C20</f>
        <v>3769788420</v>
      </c>
      <c r="D22" s="16">
        <f>D12-D20</f>
        <v>7198064993</v>
      </c>
      <c r="E22" s="16">
        <f>E12-E20</f>
        <v>14199634228</v>
      </c>
    </row>
    <row r="23" spans="2:5" ht="15" customHeight="1">
      <c r="B23" s="22" t="s">
        <v>79</v>
      </c>
      <c r="C23" s="23">
        <f>C22/C12</f>
        <v>0.44340124798914421</v>
      </c>
      <c r="D23" s="23">
        <f>D22/D12</f>
        <v>0.48631289002846523</v>
      </c>
      <c r="E23" s="23">
        <f>E22/E12</f>
        <v>0.5163153867946827</v>
      </c>
    </row>
    <row r="25" spans="2:5" ht="15" customHeight="1">
      <c r="B25" s="12" t="s">
        <v>80</v>
      </c>
    </row>
    <row r="26" spans="2:5" ht="15" customHeight="1">
      <c r="B26" s="13" t="s">
        <v>81</v>
      </c>
      <c r="C26" s="14">
        <v>1250679514</v>
      </c>
      <c r="D26" s="14">
        <v>2000074870</v>
      </c>
      <c r="E26" s="14">
        <v>3100638720</v>
      </c>
    </row>
    <row r="27" spans="2:5" ht="15" customHeight="1">
      <c r="B27" s="13" t="s">
        <v>82</v>
      </c>
      <c r="C27" s="14">
        <v>380665822</v>
      </c>
      <c r="D27" s="14">
        <v>620179451</v>
      </c>
      <c r="E27" s="14">
        <v>1100560086</v>
      </c>
    </row>
    <row r="28" spans="2:5" ht="15" customHeight="1">
      <c r="B28" s="13" t="s">
        <v>83</v>
      </c>
      <c r="C28" s="14">
        <v>220764544</v>
      </c>
      <c r="D28" s="14">
        <v>680256702</v>
      </c>
      <c r="E28" s="14">
        <v>1400171339</v>
      </c>
    </row>
    <row r="29" spans="2:5" ht="15" customHeight="1">
      <c r="B29" s="13" t="s">
        <v>84</v>
      </c>
      <c r="C29" s="14">
        <v>780484714</v>
      </c>
      <c r="D29" s="14">
        <v>1400397887</v>
      </c>
      <c r="E29" s="14">
        <v>2200283060</v>
      </c>
    </row>
    <row r="30" spans="2:5" ht="15" customHeight="1">
      <c r="B30" s="13" t="s">
        <v>85</v>
      </c>
      <c r="C30" s="14">
        <v>180970342</v>
      </c>
      <c r="D30" s="14">
        <v>240671088</v>
      </c>
      <c r="E30" s="14">
        <v>360721590</v>
      </c>
    </row>
    <row r="31" spans="2:5" ht="15" customHeight="1">
      <c r="B31" s="13" t="s">
        <v>86</v>
      </c>
      <c r="C31" s="14">
        <v>220584004</v>
      </c>
      <c r="D31" s="14">
        <v>280230283</v>
      </c>
      <c r="E31" s="14">
        <v>400717870</v>
      </c>
    </row>
    <row r="32" spans="2:5" ht="15" customHeight="1">
      <c r="B32" s="13" t="s">
        <v>87</v>
      </c>
      <c r="C32" s="14">
        <v>280340035</v>
      </c>
      <c r="D32" s="14">
        <v>420883794</v>
      </c>
      <c r="E32" s="14">
        <v>680805635</v>
      </c>
    </row>
    <row r="33" spans="2:8" ht="15" customHeight="1">
      <c r="B33" s="15" t="s">
        <v>88</v>
      </c>
      <c r="C33" s="16">
        <f>SUM(C26:C32)</f>
        <v>3314488975</v>
      </c>
      <c r="D33" s="16">
        <f>SUM(D26:D32)</f>
        <v>5642694075</v>
      </c>
      <c r="E33" s="16">
        <f>SUM(E26:E32)</f>
        <v>9243898300</v>
      </c>
    </row>
    <row r="35" spans="2:8" ht="15" customHeight="1">
      <c r="B35" s="24" t="s">
        <v>89</v>
      </c>
      <c r="C35" s="18">
        <f>C22-C33</f>
        <v>455299445</v>
      </c>
      <c r="D35" s="18">
        <f>D22-D33</f>
        <v>1555370918</v>
      </c>
      <c r="E35" s="18">
        <f>E22-E33</f>
        <v>4955735928</v>
      </c>
      <c r="G35" s="25">
        <f>D35/C35-1</f>
        <v>2.4161493827430429</v>
      </c>
      <c r="H35" s="25">
        <f>E35/D35-1</f>
        <v>2.186208428258654</v>
      </c>
    </row>
    <row r="36" spans="2:8" ht="15" customHeight="1">
      <c r="B36" s="22" t="s">
        <v>90</v>
      </c>
      <c r="C36" s="23">
        <f>C35/C12</f>
        <v>5.3552167822130646E-2</v>
      </c>
      <c r="D36" s="23">
        <f>D35/D12</f>
        <v>0.10508336989654728</v>
      </c>
      <c r="E36" s="23">
        <f>E35/E12</f>
        <v>0.18019638192314327</v>
      </c>
    </row>
    <row r="38" spans="2:8" ht="15" customHeight="1">
      <c r="B38" s="12" t="s">
        <v>91</v>
      </c>
    </row>
    <row r="39" spans="2:8" ht="15" customHeight="1">
      <c r="B39" s="13" t="s">
        <v>92</v>
      </c>
      <c r="C39" s="14">
        <v>85813694</v>
      </c>
      <c r="D39" s="14">
        <v>140058655</v>
      </c>
      <c r="E39" s="14">
        <v>280240174</v>
      </c>
    </row>
    <row r="40" spans="2:8" ht="15" customHeight="1">
      <c r="B40" s="13" t="s">
        <v>93</v>
      </c>
      <c r="C40" s="14">
        <v>40861722</v>
      </c>
      <c r="D40" s="14">
        <v>65033659</v>
      </c>
      <c r="E40" s="14">
        <v>110844151</v>
      </c>
    </row>
    <row r="41" spans="2:8" ht="15" customHeight="1">
      <c r="B41" s="13" t="s">
        <v>94</v>
      </c>
      <c r="C41" s="14">
        <v>30330776</v>
      </c>
      <c r="D41" s="14">
        <v>50420651</v>
      </c>
      <c r="E41" s="14">
        <v>80280746</v>
      </c>
    </row>
    <row r="42" spans="2:8" ht="15" customHeight="1">
      <c r="B42" s="13" t="s">
        <v>95</v>
      </c>
      <c r="C42" s="14">
        <v>120069403</v>
      </c>
      <c r="D42" s="14">
        <v>150221231</v>
      </c>
      <c r="E42" s="14">
        <v>180957492</v>
      </c>
    </row>
    <row r="43" spans="2:8" ht="15" customHeight="1">
      <c r="B43" s="13" t="s">
        <v>96</v>
      </c>
      <c r="C43" s="14">
        <v>55988712</v>
      </c>
      <c r="D43" s="14">
        <v>80594731</v>
      </c>
      <c r="E43" s="14">
        <v>130918938</v>
      </c>
    </row>
    <row r="44" spans="2:8" ht="15" customHeight="1">
      <c r="B44" s="13" t="s">
        <v>97</v>
      </c>
      <c r="C44" s="14">
        <v>45752787</v>
      </c>
      <c r="D44" s="14">
        <v>70329963</v>
      </c>
      <c r="E44" s="14">
        <v>100222955</v>
      </c>
    </row>
    <row r="45" spans="2:8" ht="15" customHeight="1">
      <c r="B45" s="15" t="s">
        <v>98</v>
      </c>
      <c r="C45" s="16">
        <f>SUM(C39:C41)-SUM(C42:C44)</f>
        <v>-64804710</v>
      </c>
      <c r="D45" s="16">
        <f>SUM(D39:D41)-SUM(D42:D44)</f>
        <v>-45632960</v>
      </c>
      <c r="E45" s="16">
        <f>SUM(E39:E41)-SUM(E42:E44)</f>
        <v>59265686</v>
      </c>
    </row>
    <row r="47" spans="2:8" ht="15" customHeight="1">
      <c r="B47" s="21" t="s">
        <v>99</v>
      </c>
      <c r="C47" s="16">
        <f>C35+C45</f>
        <v>390494735</v>
      </c>
      <c r="D47" s="16">
        <f>D35+D45</f>
        <v>1509737958</v>
      </c>
      <c r="E47" s="16">
        <f>E35+E45</f>
        <v>5015001614</v>
      </c>
    </row>
    <row r="48" spans="2:8" ht="15" customHeight="1">
      <c r="B48" s="19" t="s">
        <v>100</v>
      </c>
      <c r="C48" s="14">
        <v>80423601</v>
      </c>
      <c r="D48" s="14">
        <v>1100523481</v>
      </c>
      <c r="E48" s="14">
        <v>2900414850</v>
      </c>
    </row>
    <row r="50" spans="2:8" ht="15" customHeight="1">
      <c r="B50" s="24" t="s">
        <v>101</v>
      </c>
      <c r="C50" s="18">
        <f>C47-C48</f>
        <v>310071134</v>
      </c>
      <c r="D50" s="18">
        <f>D47-D48</f>
        <v>409214477</v>
      </c>
      <c r="E50" s="18">
        <f>E47-E48</f>
        <v>2114586764</v>
      </c>
      <c r="G50" s="25">
        <f>D50/C50-1</f>
        <v>0.31974386561246293</v>
      </c>
      <c r="H50" s="25">
        <f>E50/D50-1</f>
        <v>4.1674290203569706</v>
      </c>
    </row>
    <row r="51" spans="2:8" ht="15" customHeight="1">
      <c r="B51" s="22" t="s">
        <v>102</v>
      </c>
      <c r="C51" s="23">
        <f>C50/C12</f>
        <v>3.6470462652917049E-2</v>
      </c>
      <c r="D51" s="23">
        <f>D50/D12</f>
        <v>2.7647190619268826E-2</v>
      </c>
      <c r="E51" s="23">
        <f>E50/E12</f>
        <v>7.6888859630812767E-2</v>
      </c>
    </row>
  </sheetData>
  <mergeCells count="2">
    <mergeCell ref="B2:H2"/>
    <mergeCell ref="B3:H3"/>
  </mergeCells>
  <phoneticPr fontId="2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35"/>
  <sheetViews>
    <sheetView zoomScaleNormal="100" workbookViewId="0"/>
  </sheetViews>
  <sheetFormatPr defaultColWidth="8.7109375" defaultRowHeight="15"/>
  <cols>
    <col min="1" max="1" width="4" customWidth="1"/>
    <col min="2" max="2" width="38" customWidth="1"/>
    <col min="3" max="5" width="22" customWidth="1"/>
  </cols>
  <sheetData>
    <row r="2" spans="2:5" ht="24" customHeight="1">
      <c r="B2" s="2" t="s">
        <v>103</v>
      </c>
      <c r="C2" s="2"/>
      <c r="D2" s="2"/>
      <c r="E2" s="2"/>
    </row>
    <row r="3" spans="2:5" ht="15" customHeight="1">
      <c r="B3" s="1" t="s">
        <v>16</v>
      </c>
      <c r="C3" s="1"/>
      <c r="D3" s="1"/>
      <c r="E3" s="1"/>
    </row>
    <row r="5" spans="2:5" ht="15" customHeight="1">
      <c r="B5" s="9" t="s">
        <v>104</v>
      </c>
      <c r="C5" s="10" t="s">
        <v>18</v>
      </c>
      <c r="D5" s="10" t="s">
        <v>19</v>
      </c>
      <c r="E5" s="10" t="s">
        <v>20</v>
      </c>
    </row>
    <row r="7" spans="2:5" ht="15" customHeight="1">
      <c r="B7" s="12" t="s">
        <v>105</v>
      </c>
    </row>
    <row r="8" spans="2:5" ht="15" customHeight="1">
      <c r="B8" s="13" t="s">
        <v>106</v>
      </c>
      <c r="C8" s="14">
        <v>1440927657</v>
      </c>
      <c r="D8" s="14">
        <v>2430958972</v>
      </c>
      <c r="E8" s="14">
        <v>5370674079</v>
      </c>
    </row>
    <row r="9" spans="2:5" ht="15" customHeight="1">
      <c r="B9" s="13" t="s">
        <v>107</v>
      </c>
      <c r="C9" s="14">
        <v>560481141</v>
      </c>
      <c r="D9" s="14">
        <v>760149811</v>
      </c>
      <c r="E9" s="14">
        <v>1140277746</v>
      </c>
    </row>
    <row r="10" spans="2:5" ht="15" customHeight="1">
      <c r="B10" s="13" t="s">
        <v>108</v>
      </c>
      <c r="C10" s="14">
        <v>420146413</v>
      </c>
      <c r="D10" s="14">
        <v>580258607</v>
      </c>
      <c r="E10" s="14">
        <v>850781177</v>
      </c>
    </row>
    <row r="11" spans="2:5" ht="15" customHeight="1">
      <c r="B11" s="13" t="s">
        <v>109</v>
      </c>
      <c r="C11" s="14">
        <v>-650588637</v>
      </c>
      <c r="D11" s="14">
        <v>-2900565158</v>
      </c>
      <c r="E11" s="14">
        <v>-5100275504</v>
      </c>
    </row>
    <row r="12" spans="2:5" ht="15" customHeight="1">
      <c r="B12" s="13" t="s">
        <v>110</v>
      </c>
      <c r="C12" s="14">
        <v>280783300</v>
      </c>
      <c r="D12" s="14">
        <v>700612982</v>
      </c>
      <c r="E12" s="14">
        <v>1250449245</v>
      </c>
    </row>
    <row r="13" spans="2:5" ht="15" customHeight="1">
      <c r="B13" s="13" t="s">
        <v>111</v>
      </c>
      <c r="C13" s="14">
        <v>320941435</v>
      </c>
      <c r="D13" s="14">
        <v>620611878</v>
      </c>
      <c r="E13" s="14">
        <v>1200418801</v>
      </c>
    </row>
    <row r="14" spans="2:5" ht="15" customHeight="1">
      <c r="B14" s="13" t="s">
        <v>112</v>
      </c>
      <c r="C14" s="14">
        <v>-180379580</v>
      </c>
      <c r="D14" s="14">
        <v>-320229974</v>
      </c>
      <c r="E14" s="14">
        <v>-580145051</v>
      </c>
    </row>
    <row r="15" spans="2:5" ht="15" customHeight="1">
      <c r="B15" s="15" t="s">
        <v>113</v>
      </c>
      <c r="C15" s="16">
        <f>SUM(C8:C14)</f>
        <v>2192311729</v>
      </c>
      <c r="D15" s="16">
        <f>SUM(D8:D14)</f>
        <v>1871797118</v>
      </c>
      <c r="E15" s="16">
        <f>SUM(E8:E14)</f>
        <v>4132180493</v>
      </c>
    </row>
    <row r="17" spans="2:5" ht="15" customHeight="1">
      <c r="B17" s="12" t="s">
        <v>114</v>
      </c>
    </row>
    <row r="18" spans="2:5" ht="15" customHeight="1">
      <c r="B18" s="13" t="s">
        <v>115</v>
      </c>
      <c r="C18" s="14">
        <v>-580534277</v>
      </c>
      <c r="D18" s="14">
        <v>-980517488</v>
      </c>
      <c r="E18" s="14">
        <v>-1750095325</v>
      </c>
    </row>
    <row r="19" spans="2:5" ht="15" customHeight="1">
      <c r="B19" s="13" t="s">
        <v>116</v>
      </c>
      <c r="C19" s="14">
        <v>-1100792495</v>
      </c>
      <c r="D19" s="14">
        <v>-1800049405</v>
      </c>
      <c r="E19" s="14">
        <v>-2950902931</v>
      </c>
    </row>
    <row r="20" spans="2:5" ht="15" customHeight="1">
      <c r="B20" s="13" t="s">
        <v>117</v>
      </c>
      <c r="C20" s="14">
        <v>-800114975</v>
      </c>
      <c r="D20" s="14">
        <v>-2000160265</v>
      </c>
      <c r="E20" s="14">
        <v>-3300657924</v>
      </c>
    </row>
    <row r="21" spans="2:5" ht="15" customHeight="1">
      <c r="B21" s="13" t="s">
        <v>118</v>
      </c>
      <c r="C21" s="14">
        <v>-400167753</v>
      </c>
      <c r="D21" s="14">
        <v>-800830555</v>
      </c>
      <c r="E21" s="14">
        <v>-1400713536</v>
      </c>
    </row>
    <row r="22" spans="2:5" ht="15" customHeight="1">
      <c r="B22" s="15" t="s">
        <v>119</v>
      </c>
      <c r="C22" s="16">
        <f>SUM(C18:C21)</f>
        <v>-2881609500</v>
      </c>
      <c r="D22" s="16">
        <f>SUM(D18:D21)</f>
        <v>-5581557713</v>
      </c>
      <c r="E22" s="16">
        <f>SUM(E18:E21)</f>
        <v>-9402369716</v>
      </c>
    </row>
    <row r="24" spans="2:5" ht="15" customHeight="1">
      <c r="B24" s="12" t="s">
        <v>120</v>
      </c>
    </row>
    <row r="25" spans="2:5" ht="15" customHeight="1">
      <c r="B25" s="13" t="s">
        <v>121</v>
      </c>
      <c r="C25" s="14">
        <v>200442666</v>
      </c>
      <c r="D25" s="14">
        <v>300625380</v>
      </c>
      <c r="E25" s="14">
        <v>300066613</v>
      </c>
    </row>
    <row r="26" spans="2:5" ht="15" customHeight="1">
      <c r="B26" s="13" t="s">
        <v>122</v>
      </c>
      <c r="C26" s="14">
        <v>500403457</v>
      </c>
      <c r="D26" s="14">
        <v>300400156</v>
      </c>
      <c r="E26" s="14">
        <v>400624834</v>
      </c>
    </row>
    <row r="27" spans="2:5" ht="15" customHeight="1">
      <c r="B27" s="13" t="s">
        <v>123</v>
      </c>
      <c r="C27" s="14">
        <v>0</v>
      </c>
      <c r="D27" s="14">
        <v>0</v>
      </c>
      <c r="E27" s="14">
        <v>2200490785</v>
      </c>
    </row>
    <row r="28" spans="2:5" ht="15" customHeight="1">
      <c r="B28" s="13" t="s">
        <v>124</v>
      </c>
      <c r="C28" s="14">
        <v>0</v>
      </c>
      <c r="D28" s="14">
        <v>0</v>
      </c>
      <c r="E28" s="14">
        <v>0</v>
      </c>
    </row>
    <row r="29" spans="2:5" ht="15" customHeight="1">
      <c r="B29" s="13" t="s">
        <v>125</v>
      </c>
      <c r="C29" s="14">
        <v>-180554816</v>
      </c>
      <c r="D29" s="14">
        <v>-260263626</v>
      </c>
      <c r="E29" s="14">
        <v>-380580099</v>
      </c>
    </row>
    <row r="30" spans="2:5" ht="15" customHeight="1">
      <c r="B30" s="15" t="s">
        <v>126</v>
      </c>
      <c r="C30" s="16">
        <f>SUM(C25:C29)</f>
        <v>520291307</v>
      </c>
      <c r="D30" s="16">
        <f>SUM(D25:D29)</f>
        <v>340761910</v>
      </c>
      <c r="E30" s="16">
        <f>SUM(E25:E29)</f>
        <v>2520602133</v>
      </c>
    </row>
    <row r="32" spans="2:5" ht="15" customHeight="1">
      <c r="B32" s="24" t="s">
        <v>127</v>
      </c>
      <c r="C32" s="18">
        <f>C15+C22+C30</f>
        <v>-169006464</v>
      </c>
      <c r="D32" s="18">
        <f>D15+D22+D30</f>
        <v>-3368998685</v>
      </c>
      <c r="E32" s="18">
        <f>E15+E22+E30</f>
        <v>-2749587090</v>
      </c>
    </row>
    <row r="34" spans="2:5" ht="15" customHeight="1">
      <c r="B34" s="19" t="s">
        <v>128</v>
      </c>
      <c r="C34" s="14">
        <v>3500902592</v>
      </c>
      <c r="D34" s="14">
        <v>4800988210</v>
      </c>
      <c r="E34" s="14">
        <v>7200012038</v>
      </c>
    </row>
    <row r="35" spans="2:5" ht="15" customHeight="1">
      <c r="B35" s="24" t="s">
        <v>129</v>
      </c>
      <c r="C35" s="18">
        <f>C34+C32</f>
        <v>3331896128</v>
      </c>
      <c r="D35" s="18">
        <f>D34+D32</f>
        <v>1431989525</v>
      </c>
      <c r="E35" s="18">
        <f>E34+E32</f>
        <v>4450424948</v>
      </c>
    </row>
  </sheetData>
  <mergeCells count="2">
    <mergeCell ref="B2:E2"/>
    <mergeCell ref="B3:E3"/>
  </mergeCells>
  <phoneticPr fontId="22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표지</vt:lpstr>
      <vt:lpstr>재무상태표</vt:lpstr>
      <vt:lpstr>손익계산서</vt:lpstr>
      <vt:lpstr>현금흐름표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Bleu 신영섭</cp:lastModifiedBy>
  <cp:revision>0</cp:revision>
  <dcterms:created xsi:type="dcterms:W3CDTF">2026-05-28T04:28:19Z</dcterms:created>
  <dcterms:modified xsi:type="dcterms:W3CDTF">2026-05-28T04:56:48Z</dcterms:modified>
  <dc:language>en-US</dc:language>
</cp:coreProperties>
</file>